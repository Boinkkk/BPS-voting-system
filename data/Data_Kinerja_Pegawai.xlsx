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2C6C3F2A-50D8-47BE-81C6-26FBCEBAD3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kap nila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7" i="1" l="1"/>
  <c r="S37" i="1" s="1"/>
  <c r="O37" i="1"/>
  <c r="M37" i="1"/>
  <c r="H37" i="1"/>
  <c r="H7" i="1"/>
  <c r="S7" i="1" s="1"/>
  <c r="S13" i="1"/>
  <c r="S17" i="1"/>
  <c r="S10" i="1"/>
  <c r="S6" i="1"/>
  <c r="S8" i="1"/>
  <c r="S9" i="1"/>
  <c r="S11" i="1"/>
  <c r="S12" i="1"/>
  <c r="S14" i="1"/>
  <c r="S15" i="1"/>
  <c r="S16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R17" i="1"/>
  <c r="R13" i="1"/>
  <c r="R10" i="1"/>
  <c r="O8" i="1"/>
  <c r="O9" i="1"/>
  <c r="O10" i="1"/>
  <c r="O11" i="1"/>
  <c r="O12" i="1"/>
  <c r="O13" i="1"/>
  <c r="O14" i="1"/>
  <c r="O15" i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7" i="1"/>
  <c r="R7" i="1" s="1"/>
  <c r="A8" i="1"/>
  <c r="A9" i="1"/>
  <c r="A10" i="1"/>
  <c r="A11" i="1"/>
  <c r="A12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7" i="1"/>
  <c r="M7" i="1"/>
  <c r="M8" i="1"/>
  <c r="R8" i="1"/>
  <c r="R6" i="1"/>
  <c r="H8" i="1"/>
  <c r="H9" i="1"/>
  <c r="R9" i="1" l="1"/>
  <c r="M9" i="1"/>
  <c r="H11" i="1"/>
  <c r="R11" i="1" l="1"/>
  <c r="M11" i="1"/>
  <c r="H12" i="1"/>
  <c r="R12" i="1" l="1"/>
  <c r="M12" i="1"/>
  <c r="H14" i="1"/>
  <c r="R14" i="1" l="1"/>
  <c r="M14" i="1"/>
  <c r="H15" i="1"/>
  <c r="R15" i="1" l="1"/>
  <c r="M15" i="1"/>
  <c r="H16" i="1"/>
  <c r="R16" i="1" l="1"/>
  <c r="M16" i="1"/>
  <c r="H18" i="1"/>
  <c r="R18" i="1" l="1"/>
  <c r="M18" i="1"/>
  <c r="H19" i="1"/>
  <c r="R19" i="1" l="1"/>
  <c r="M19" i="1"/>
  <c r="H20" i="1"/>
  <c r="R20" i="1" l="1"/>
  <c r="M20" i="1"/>
  <c r="H21" i="1"/>
  <c r="R21" i="1" l="1"/>
  <c r="M21" i="1"/>
  <c r="H22" i="1"/>
  <c r="R22" i="1" l="1"/>
  <c r="M22" i="1"/>
  <c r="H23" i="1"/>
  <c r="R23" i="1" l="1"/>
  <c r="M23" i="1"/>
  <c r="H24" i="1"/>
  <c r="R24" i="1" l="1"/>
  <c r="M24" i="1"/>
  <c r="H25" i="1"/>
  <c r="R25" i="1" l="1"/>
  <c r="M25" i="1"/>
  <c r="H26" i="1"/>
  <c r="R26" i="1" l="1"/>
  <c r="M26" i="1"/>
  <c r="H27" i="1"/>
  <c r="R27" i="1" l="1"/>
  <c r="M27" i="1"/>
  <c r="H28" i="1"/>
  <c r="R28" i="1" l="1"/>
  <c r="M28" i="1"/>
  <c r="H29" i="1"/>
  <c r="R29" i="1" l="1"/>
  <c r="M29" i="1"/>
  <c r="H30" i="1"/>
  <c r="R30" i="1" l="1"/>
  <c r="M30" i="1"/>
  <c r="H31" i="1"/>
  <c r="R31" i="1" l="1"/>
  <c r="M31" i="1"/>
  <c r="H32" i="1"/>
  <c r="R32" i="1" l="1"/>
  <c r="M32" i="1"/>
  <c r="H33" i="1"/>
  <c r="R33" i="1" l="1"/>
  <c r="M33" i="1"/>
  <c r="H34" i="1"/>
  <c r="R34" i="1" l="1"/>
  <c r="M34" i="1"/>
  <c r="H36" i="1"/>
  <c r="H35" i="1"/>
  <c r="R36" i="1" l="1"/>
  <c r="R35" i="1"/>
  <c r="M36" i="1"/>
  <c r="M35" i="1"/>
</calcChain>
</file>

<file path=xl/sharedStrings.xml><?xml version="1.0" encoding="utf-8"?>
<sst xmlns="http://schemas.openxmlformats.org/spreadsheetml/2006/main" count="96" uniqueCount="64">
  <si>
    <t>Nama</t>
  </si>
  <si>
    <t>Jabatan</t>
  </si>
  <si>
    <t>Rata-rata hasil kerja</t>
  </si>
  <si>
    <t>Rata-rata perilaku</t>
  </si>
  <si>
    <t>Statistisi Pelaksana/Terampil</t>
  </si>
  <si>
    <t>Statistisi Pelaksana Lanjutan/Mahir</t>
  </si>
  <si>
    <t>Statistisi Ahli Pertama</t>
  </si>
  <si>
    <t>Statistisi Ahli Muda</t>
  </si>
  <si>
    <t>Pelaksana</t>
  </si>
  <si>
    <t>Kepala Subbagian Umum</t>
  </si>
  <si>
    <t xml:space="preserve">PENILAIAN KINERJA PEGAWAI </t>
  </si>
  <si>
    <t>No</t>
  </si>
  <si>
    <t>Pranata Komputer Ahli Muda</t>
  </si>
  <si>
    <t>Pranata Komputer Pelaksana/Terampil</t>
  </si>
  <si>
    <t>Catatan :</t>
  </si>
  <si>
    <t>NIlai TL dan PSW = 100-banyaknya TL dan PSW</t>
  </si>
  <si>
    <t>Nilai KJK = 100-KJK (dalam jam)</t>
  </si>
  <si>
    <t>jika KJK pegawai bulan Januari 1 jam, maka Nilai KJK = 100-1 = 99</t>
  </si>
  <si>
    <t>jika terdapat pegawai bulan januari terlambat masuk kerja (TL) sebanyak 1 kali maka nilai TL dan PSW = 100-1 = 99</t>
  </si>
  <si>
    <t>Nilai KJK</t>
  </si>
  <si>
    <t>Nilai TL dan PSW</t>
  </si>
  <si>
    <t>*</t>
  </si>
  <si>
    <t>Nilai TL dan PSW dihitung berdasarkan Banyaknya/ frekuensi Terlambat Masuk Jam Kerja dan Pulang Sebelum Waktunya ( TL dan PSW)</t>
  </si>
  <si>
    <t>Cuti sakit</t>
  </si>
  <si>
    <t>BULAN TRIWULAN 4 TAHUN 2024</t>
  </si>
  <si>
    <t>Oktober</t>
  </si>
  <si>
    <t>November</t>
  </si>
  <si>
    <t>Desember</t>
  </si>
  <si>
    <t>Rata-rata Triwulan 4</t>
  </si>
  <si>
    <t>Pranata Komputer Ahli Pertama</t>
  </si>
  <si>
    <t>Rata-Rata Oktober</t>
  </si>
  <si>
    <t>Rata-Rata November</t>
  </si>
  <si>
    <t>Ach. Haris Sidik</t>
  </si>
  <si>
    <t>Mohammad Sakir</t>
  </si>
  <si>
    <t>Aris Kuswantoro</t>
  </si>
  <si>
    <t>Tedy Wahyudi</t>
  </si>
  <si>
    <t>Zhoemaroh</t>
  </si>
  <si>
    <t>Yeni Arisanti</t>
  </si>
  <si>
    <t>Tulus Soebagijo</t>
  </si>
  <si>
    <t>Hendra Adhikara</t>
  </si>
  <si>
    <t>Mohammad Soleh TC</t>
  </si>
  <si>
    <t>Dwi Widianis</t>
  </si>
  <si>
    <t>Hizbullah Gunawan</t>
  </si>
  <si>
    <t>Dhony Susfantori</t>
  </si>
  <si>
    <t>Tatok Mulyo Mintartok</t>
  </si>
  <si>
    <t>Heru Priambodo</t>
  </si>
  <si>
    <t>Ridnu Witardi</t>
  </si>
  <si>
    <t>Erlisa Wahyu Pratiwi</t>
  </si>
  <si>
    <t>Whistra Pariata Utama</t>
  </si>
  <si>
    <t>Mohlis</t>
  </si>
  <si>
    <t>Fajar Fatahillah</t>
  </si>
  <si>
    <t>Istian Hendriyanto</t>
  </si>
  <si>
    <t>Citra Dian Etika</t>
  </si>
  <si>
    <t>Muhammad Sayyidin Syadad</t>
  </si>
  <si>
    <t>Nia Nurma Faiza</t>
  </si>
  <si>
    <t>Afifan Ainur Rofiq</t>
  </si>
  <si>
    <t>Radita Nareswari Mumpuni Putri</t>
  </si>
  <si>
    <t>Indah Putri Rahayu</t>
  </si>
  <si>
    <t>Linda Kuncasari</t>
  </si>
  <si>
    <t>Alfin Niam Habibi</t>
  </si>
  <si>
    <t>Anggraini Nur Agustina</t>
  </si>
  <si>
    <t>Akhmad Santoso</t>
  </si>
  <si>
    <t>Mega Citranda Utami</t>
  </si>
  <si>
    <t>Yevi 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</si>
</sst>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right" vertical="top"/>
    </xf>
    <xf numFmtId="2" fontId="0" fillId="0" borderId="1" xfId="0" applyNumberFormat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2" fontId="2" fillId="0" borderId="1" xfId="0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2" fontId="2" fillId="3" borderId="1" xfId="0" applyNumberFormat="1" applyFont="1" applyFill="1" applyBorder="1" applyAlignment="1">
      <alignment horizontal="right" vertical="center" wrapText="1"/>
    </xf>
    <xf numFmtId="0" fontId="0" fillId="3" borderId="0" xfId="0" applyFill="1"/>
    <xf numFmtId="164" fontId="0" fillId="3" borderId="1" xfId="0" applyNumberFormat="1" applyFill="1" applyBorder="1" applyAlignment="1">
      <alignment horizontal="right"/>
    </xf>
    <xf numFmtId="0" fontId="6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topLeftCell="A29" zoomScale="85" zoomScaleNormal="85" workbookViewId="0">
      <selection activeCell="B10" sqref="B10"/>
    </sheetView>
  </sheetViews>
  <sheetFormatPr defaultRowHeight="15" x14ac:dyDescent="0.25"/>
  <cols>
    <col min="1" max="1" width="5" customWidth="1"/>
    <col min="2" max="2" width="42.5703125" customWidth="1"/>
    <col min="3" max="3" width="32.5703125" style="2" bestFit="1" customWidth="1"/>
    <col min="4" max="4" width="11.140625" style="2" customWidth="1"/>
    <col min="5" max="5" width="10.5703125" style="2" customWidth="1"/>
    <col min="6" max="8" width="11.140625" style="2" customWidth="1"/>
    <col min="9" max="9" width="10" style="2" customWidth="1"/>
    <col min="10" max="10" width="9.42578125" style="2" customWidth="1"/>
    <col min="11" max="13" width="10.85546875" style="2" customWidth="1"/>
    <col min="14" max="14" width="10" customWidth="1"/>
    <col min="15" max="15" width="9.7109375" customWidth="1"/>
    <col min="16" max="16" width="10.28515625" customWidth="1"/>
    <col min="17" max="18" width="10.7109375" customWidth="1"/>
    <col min="19" max="19" width="10.28515625" customWidth="1"/>
  </cols>
  <sheetData>
    <row r="1" spans="1:19" x14ac:dyDescent="0.25">
      <c r="B1" s="26" t="s">
        <v>10</v>
      </c>
      <c r="C1" s="26"/>
      <c r="D1" s="26"/>
      <c r="E1" s="26"/>
      <c r="F1" s="26"/>
      <c r="G1" s="26"/>
      <c r="H1" s="26"/>
      <c r="I1" s="26"/>
      <c r="J1" s="26"/>
      <c r="K1" s="26"/>
      <c r="L1" s="4"/>
      <c r="M1" s="4"/>
    </row>
    <row r="2" spans="1:19" x14ac:dyDescent="0.25">
      <c r="B2" s="26" t="s">
        <v>24</v>
      </c>
      <c r="C2" s="26"/>
      <c r="D2" s="26"/>
      <c r="E2" s="26"/>
      <c r="F2" s="26"/>
      <c r="G2" s="26"/>
      <c r="H2" s="26"/>
      <c r="I2" s="26"/>
      <c r="J2" s="26"/>
      <c r="K2" s="26"/>
      <c r="L2" s="4"/>
      <c r="M2" s="4"/>
    </row>
    <row r="4" spans="1:19" s="3" customFormat="1" ht="32.25" customHeight="1" x14ac:dyDescent="0.25">
      <c r="A4" s="32" t="s">
        <v>11</v>
      </c>
      <c r="B4" s="27" t="s">
        <v>0</v>
      </c>
      <c r="C4" s="27" t="s">
        <v>1</v>
      </c>
      <c r="D4" s="29" t="s">
        <v>25</v>
      </c>
      <c r="E4" s="30"/>
      <c r="F4" s="30"/>
      <c r="G4" s="30"/>
      <c r="H4" s="31"/>
      <c r="I4" s="29" t="s">
        <v>26</v>
      </c>
      <c r="J4" s="30"/>
      <c r="K4" s="30"/>
      <c r="L4" s="30"/>
      <c r="M4" s="31"/>
      <c r="N4" s="29" t="s">
        <v>27</v>
      </c>
      <c r="O4" s="30"/>
      <c r="P4" s="30"/>
      <c r="Q4" s="30"/>
      <c r="R4" s="31"/>
      <c r="S4" s="28" t="s">
        <v>28</v>
      </c>
    </row>
    <row r="5" spans="1:19" s="3" customFormat="1" ht="32.25" customHeight="1" x14ac:dyDescent="0.25">
      <c r="A5" s="32"/>
      <c r="B5" s="27"/>
      <c r="C5" s="27"/>
      <c r="D5" s="7" t="s">
        <v>2</v>
      </c>
      <c r="E5" s="7" t="s">
        <v>3</v>
      </c>
      <c r="F5" s="7" t="s">
        <v>19</v>
      </c>
      <c r="G5" s="7" t="s">
        <v>20</v>
      </c>
      <c r="H5" s="7" t="s">
        <v>30</v>
      </c>
      <c r="I5" s="7" t="s">
        <v>2</v>
      </c>
      <c r="J5" s="7" t="s">
        <v>3</v>
      </c>
      <c r="K5" s="7" t="s">
        <v>19</v>
      </c>
      <c r="L5" s="7" t="s">
        <v>20</v>
      </c>
      <c r="M5" s="7" t="s">
        <v>31</v>
      </c>
      <c r="N5" s="7" t="s">
        <v>2</v>
      </c>
      <c r="O5" s="7" t="s">
        <v>3</v>
      </c>
      <c r="P5" s="7" t="s">
        <v>19</v>
      </c>
      <c r="Q5" s="7" t="s">
        <v>20</v>
      </c>
      <c r="R5" s="7" t="s">
        <v>31</v>
      </c>
      <c r="S5" s="28"/>
    </row>
    <row r="6" spans="1:19" ht="16.5" customHeight="1" x14ac:dyDescent="0.25">
      <c r="A6" s="6">
        <v>1</v>
      </c>
      <c r="B6" t="s">
        <v>32</v>
      </c>
      <c r="C6" s="5" t="s">
        <v>8</v>
      </c>
      <c r="D6" s="10"/>
      <c r="E6" s="10"/>
      <c r="F6" s="10"/>
      <c r="G6" s="10"/>
      <c r="H6" s="17"/>
      <c r="I6" s="10"/>
      <c r="J6" s="10"/>
      <c r="K6" s="10"/>
      <c r="L6" s="10"/>
      <c r="M6" s="17"/>
      <c r="N6" s="10">
        <v>94.27</v>
      </c>
      <c r="O6" s="10">
        <v>90</v>
      </c>
      <c r="P6" s="10">
        <v>100</v>
      </c>
      <c r="Q6" s="11">
        <v>100</v>
      </c>
      <c r="R6" s="15">
        <f>AVERAGE(N6:Q6)</f>
        <v>96.067499999999995</v>
      </c>
      <c r="S6" s="18">
        <f>R6</f>
        <v>96.067499999999995</v>
      </c>
    </row>
    <row r="7" spans="1:19" ht="16.5" customHeight="1" x14ac:dyDescent="0.25">
      <c r="A7" s="6">
        <f>A6+1</f>
        <v>2</v>
      </c>
      <c r="B7" t="s">
        <v>33</v>
      </c>
      <c r="C7" s="5" t="s">
        <v>6</v>
      </c>
      <c r="D7" s="10">
        <v>94.22</v>
      </c>
      <c r="E7" s="10">
        <v>90</v>
      </c>
      <c r="F7" s="10">
        <v>100</v>
      </c>
      <c r="G7" s="10">
        <v>100</v>
      </c>
      <c r="H7" s="17">
        <f>AVERAGE(D7:G7)</f>
        <v>96.055000000000007</v>
      </c>
      <c r="I7" s="10">
        <v>94.27</v>
      </c>
      <c r="J7" s="10">
        <v>90</v>
      </c>
      <c r="K7" s="10">
        <v>100</v>
      </c>
      <c r="L7" s="10">
        <v>100</v>
      </c>
      <c r="M7" s="17">
        <f>AVERAGE(I7:L7)</f>
        <v>96.067499999999995</v>
      </c>
      <c r="N7" s="10">
        <v>94.33</v>
      </c>
      <c r="O7" s="10">
        <f>O6</f>
        <v>90</v>
      </c>
      <c r="P7" s="10">
        <v>100</v>
      </c>
      <c r="Q7" s="11">
        <v>100</v>
      </c>
      <c r="R7" s="15">
        <f>AVERAGE(N7:Q7)</f>
        <v>96.082499999999996</v>
      </c>
      <c r="S7" s="18">
        <f t="shared" ref="S7:S36" si="0">(H7+M7+R7)/3</f>
        <v>96.068333333333328</v>
      </c>
    </row>
    <row r="8" spans="1:19" ht="16.5" customHeight="1" x14ac:dyDescent="0.25">
      <c r="A8" s="6">
        <f t="shared" ref="A8:A36" si="1">A7+1</f>
        <v>3</v>
      </c>
      <c r="B8" t="s">
        <v>34</v>
      </c>
      <c r="C8" s="5" t="s">
        <v>5</v>
      </c>
      <c r="D8" s="10">
        <v>94.13</v>
      </c>
      <c r="E8" s="10">
        <v>90</v>
      </c>
      <c r="F8" s="10">
        <v>100</v>
      </c>
      <c r="G8" s="10">
        <v>100</v>
      </c>
      <c r="H8" s="17">
        <f t="shared" ref="H8:H36" si="2">AVERAGE(D8:G8)</f>
        <v>96.032499999999999</v>
      </c>
      <c r="I8" s="10">
        <v>94.17</v>
      </c>
      <c r="J8" s="10">
        <v>90</v>
      </c>
      <c r="K8" s="10">
        <v>100</v>
      </c>
      <c r="L8" s="10">
        <v>99</v>
      </c>
      <c r="M8" s="17">
        <f t="shared" ref="M8:M36" si="3">AVERAGE(I8:L8)</f>
        <v>95.792500000000004</v>
      </c>
      <c r="N8" s="10">
        <v>94.14</v>
      </c>
      <c r="O8" s="10">
        <f t="shared" ref="O8:O37" si="4">O7</f>
        <v>90</v>
      </c>
      <c r="P8" s="10">
        <v>100</v>
      </c>
      <c r="Q8" s="11">
        <v>100</v>
      </c>
      <c r="R8" s="15">
        <f t="shared" ref="R8:R36" si="5">AVERAGE(N8:Q8)</f>
        <v>96.034999999999997</v>
      </c>
      <c r="S8" s="18">
        <f t="shared" si="0"/>
        <v>95.953333333333333</v>
      </c>
    </row>
    <row r="9" spans="1:19" ht="16.5" customHeight="1" x14ac:dyDescent="0.25">
      <c r="A9" s="6">
        <f t="shared" si="1"/>
        <v>4</v>
      </c>
      <c r="B9" t="s">
        <v>35</v>
      </c>
      <c r="C9" s="5" t="s">
        <v>8</v>
      </c>
      <c r="D9" s="10">
        <v>94.2</v>
      </c>
      <c r="E9" s="10">
        <v>90</v>
      </c>
      <c r="F9" s="10">
        <v>100</v>
      </c>
      <c r="G9" s="10">
        <v>99</v>
      </c>
      <c r="H9" s="17">
        <f t="shared" si="2"/>
        <v>95.8</v>
      </c>
      <c r="I9" s="10">
        <v>94.2</v>
      </c>
      <c r="J9" s="10">
        <v>90</v>
      </c>
      <c r="K9" s="10">
        <v>100</v>
      </c>
      <c r="L9" s="10">
        <v>100</v>
      </c>
      <c r="M9" s="17">
        <f t="shared" si="3"/>
        <v>96.05</v>
      </c>
      <c r="N9" s="10">
        <v>94.22</v>
      </c>
      <c r="O9" s="10">
        <f t="shared" si="4"/>
        <v>90</v>
      </c>
      <c r="P9" s="10">
        <v>100</v>
      </c>
      <c r="Q9" s="11">
        <v>100</v>
      </c>
      <c r="R9" s="15">
        <f t="shared" si="5"/>
        <v>96.055000000000007</v>
      </c>
      <c r="S9" s="18">
        <f t="shared" si="0"/>
        <v>95.96833333333332</v>
      </c>
    </row>
    <row r="10" spans="1:19" ht="16.5" customHeight="1" x14ac:dyDescent="0.25">
      <c r="A10" s="6">
        <f t="shared" si="1"/>
        <v>5</v>
      </c>
      <c r="B10" t="s">
        <v>36</v>
      </c>
      <c r="C10" s="25" t="s">
        <v>8</v>
      </c>
      <c r="D10" s="10"/>
      <c r="E10" s="10"/>
      <c r="F10" s="10"/>
      <c r="G10" s="10"/>
      <c r="H10" s="17"/>
      <c r="I10" s="10"/>
      <c r="J10" s="10"/>
      <c r="K10" s="10"/>
      <c r="L10" s="10"/>
      <c r="M10" s="17"/>
      <c r="N10" s="10">
        <v>94.14</v>
      </c>
      <c r="O10" s="10">
        <f t="shared" si="4"/>
        <v>90</v>
      </c>
      <c r="P10" s="10">
        <v>100</v>
      </c>
      <c r="Q10" s="11">
        <v>100</v>
      </c>
      <c r="R10" s="15">
        <f t="shared" si="5"/>
        <v>96.034999999999997</v>
      </c>
      <c r="S10" s="18">
        <f>R10</f>
        <v>96.034999999999997</v>
      </c>
    </row>
    <row r="11" spans="1:19" ht="16.5" customHeight="1" x14ac:dyDescent="0.25">
      <c r="A11" s="6">
        <f t="shared" si="1"/>
        <v>6</v>
      </c>
      <c r="B11" t="s">
        <v>37</v>
      </c>
      <c r="C11" s="5" t="s">
        <v>6</v>
      </c>
      <c r="D11" s="10">
        <v>94.18</v>
      </c>
      <c r="E11" s="10">
        <v>90</v>
      </c>
      <c r="F11" s="10">
        <v>100</v>
      </c>
      <c r="G11" s="10">
        <v>100</v>
      </c>
      <c r="H11" s="17">
        <f t="shared" si="2"/>
        <v>96.045000000000002</v>
      </c>
      <c r="I11" s="10">
        <v>94.25</v>
      </c>
      <c r="J11" s="10">
        <v>90</v>
      </c>
      <c r="K11" s="10">
        <v>100</v>
      </c>
      <c r="L11" s="10">
        <v>99</v>
      </c>
      <c r="M11" s="17">
        <f t="shared" si="3"/>
        <v>95.8125</v>
      </c>
      <c r="N11" s="10">
        <v>94.18</v>
      </c>
      <c r="O11" s="10">
        <f t="shared" si="4"/>
        <v>90</v>
      </c>
      <c r="P11" s="10">
        <v>100</v>
      </c>
      <c r="Q11" s="10">
        <v>100</v>
      </c>
      <c r="R11" s="15">
        <f t="shared" si="5"/>
        <v>96.045000000000002</v>
      </c>
      <c r="S11" s="18">
        <f t="shared" si="0"/>
        <v>95.967500000000015</v>
      </c>
    </row>
    <row r="12" spans="1:19" ht="16.5" customHeight="1" x14ac:dyDescent="0.25">
      <c r="A12" s="6">
        <f t="shared" si="1"/>
        <v>7</v>
      </c>
      <c r="B12" t="s">
        <v>38</v>
      </c>
      <c r="C12" s="5" t="s">
        <v>5</v>
      </c>
      <c r="D12" s="17">
        <v>94.08</v>
      </c>
      <c r="E12" s="10">
        <v>90</v>
      </c>
      <c r="F12" s="10">
        <v>100</v>
      </c>
      <c r="G12" s="10">
        <v>100</v>
      </c>
      <c r="H12" s="17">
        <f t="shared" si="2"/>
        <v>96.02</v>
      </c>
      <c r="I12" s="10">
        <v>94.13</v>
      </c>
      <c r="J12" s="10">
        <v>90</v>
      </c>
      <c r="K12" s="10">
        <v>100</v>
      </c>
      <c r="L12" s="10">
        <v>100</v>
      </c>
      <c r="M12" s="17">
        <f t="shared" si="3"/>
        <v>96.032499999999999</v>
      </c>
      <c r="N12" s="17">
        <v>94.08</v>
      </c>
      <c r="O12" s="10">
        <f t="shared" si="4"/>
        <v>90</v>
      </c>
      <c r="P12" s="10">
        <v>100</v>
      </c>
      <c r="Q12" s="10">
        <v>100</v>
      </c>
      <c r="R12" s="15">
        <f t="shared" si="5"/>
        <v>96.02</v>
      </c>
      <c r="S12" s="18">
        <f t="shared" si="0"/>
        <v>96.024166666666659</v>
      </c>
    </row>
    <row r="13" spans="1:19" ht="16.5" customHeight="1" x14ac:dyDescent="0.25">
      <c r="A13" s="6">
        <f t="shared" si="1"/>
        <v>8</v>
      </c>
      <c r="B13" t="s">
        <v>39</v>
      </c>
      <c r="C13" s="25" t="s">
        <v>8</v>
      </c>
      <c r="D13" s="17"/>
      <c r="E13" s="10"/>
      <c r="F13" s="10"/>
      <c r="G13" s="10"/>
      <c r="H13" s="17"/>
      <c r="I13" s="10"/>
      <c r="J13" s="10"/>
      <c r="K13" s="10"/>
      <c r="L13" s="10"/>
      <c r="M13" s="17"/>
      <c r="N13" s="17">
        <v>94.17</v>
      </c>
      <c r="O13" s="10">
        <f t="shared" si="4"/>
        <v>90</v>
      </c>
      <c r="P13" s="10">
        <v>100</v>
      </c>
      <c r="Q13" s="10">
        <v>100</v>
      </c>
      <c r="R13" s="15">
        <f t="shared" si="5"/>
        <v>96.042500000000004</v>
      </c>
      <c r="S13" s="18">
        <f>R13</f>
        <v>96.042500000000004</v>
      </c>
    </row>
    <row r="14" spans="1:19" s="23" customFormat="1" ht="16.5" customHeight="1" x14ac:dyDescent="0.25">
      <c r="A14" s="19">
        <f t="shared" si="1"/>
        <v>9</v>
      </c>
      <c r="B14" t="s">
        <v>40</v>
      </c>
      <c r="C14" s="20" t="s">
        <v>5</v>
      </c>
      <c r="D14" s="21">
        <v>94.3</v>
      </c>
      <c r="E14" s="21">
        <v>90</v>
      </c>
      <c r="F14" s="21">
        <v>100</v>
      </c>
      <c r="G14" s="21">
        <v>100</v>
      </c>
      <c r="H14" s="22">
        <f t="shared" si="2"/>
        <v>96.075000000000003</v>
      </c>
      <c r="I14" s="21">
        <v>94.58</v>
      </c>
      <c r="J14" s="21">
        <v>90</v>
      </c>
      <c r="K14" s="21">
        <v>100</v>
      </c>
      <c r="L14" s="21">
        <v>100</v>
      </c>
      <c r="M14" s="22">
        <f t="shared" si="3"/>
        <v>96.144999999999996</v>
      </c>
      <c r="N14" s="21">
        <v>94.2</v>
      </c>
      <c r="O14" s="21">
        <f t="shared" si="4"/>
        <v>90</v>
      </c>
      <c r="P14" s="21">
        <v>100</v>
      </c>
      <c r="Q14" s="21">
        <v>100</v>
      </c>
      <c r="R14" s="16">
        <f t="shared" si="5"/>
        <v>96.05</v>
      </c>
      <c r="S14" s="24">
        <f t="shared" si="0"/>
        <v>96.089999999999989</v>
      </c>
    </row>
    <row r="15" spans="1:19" ht="16.5" customHeight="1" x14ac:dyDescent="0.25">
      <c r="A15" s="6">
        <f t="shared" si="1"/>
        <v>10</v>
      </c>
      <c r="B15" t="s">
        <v>41</v>
      </c>
      <c r="C15" s="5" t="s">
        <v>6</v>
      </c>
      <c r="D15" s="10">
        <v>94.1</v>
      </c>
      <c r="E15" s="10">
        <v>90</v>
      </c>
      <c r="F15" s="10">
        <v>100</v>
      </c>
      <c r="G15" s="10">
        <v>100</v>
      </c>
      <c r="H15" s="17">
        <f t="shared" si="2"/>
        <v>96.025000000000006</v>
      </c>
      <c r="I15" s="10">
        <v>94.13</v>
      </c>
      <c r="J15" s="10">
        <v>90</v>
      </c>
      <c r="K15" s="10">
        <v>100</v>
      </c>
      <c r="L15" s="10">
        <v>100</v>
      </c>
      <c r="M15" s="17">
        <f t="shared" si="3"/>
        <v>96.032499999999999</v>
      </c>
      <c r="N15" s="10">
        <v>94.17</v>
      </c>
      <c r="O15" s="10">
        <f t="shared" si="4"/>
        <v>90</v>
      </c>
      <c r="P15" s="10">
        <v>100</v>
      </c>
      <c r="Q15" s="10">
        <v>100</v>
      </c>
      <c r="R15" s="15">
        <f t="shared" si="5"/>
        <v>96.042500000000004</v>
      </c>
      <c r="S15" s="18">
        <f t="shared" si="0"/>
        <v>96.033333333333346</v>
      </c>
    </row>
    <row r="16" spans="1:19" ht="16.5" customHeight="1" x14ac:dyDescent="0.25">
      <c r="A16" s="6">
        <f t="shared" si="1"/>
        <v>11</v>
      </c>
      <c r="B16" t="s">
        <v>42</v>
      </c>
      <c r="C16" s="5" t="s">
        <v>8</v>
      </c>
      <c r="D16" s="10">
        <v>94.25</v>
      </c>
      <c r="E16" s="10">
        <v>90</v>
      </c>
      <c r="F16" s="10">
        <v>100</v>
      </c>
      <c r="G16" s="10">
        <v>99</v>
      </c>
      <c r="H16" s="17">
        <f t="shared" si="2"/>
        <v>95.8125</v>
      </c>
      <c r="I16" s="17">
        <v>94.17</v>
      </c>
      <c r="J16" s="10">
        <v>90</v>
      </c>
      <c r="K16" s="10">
        <v>100</v>
      </c>
      <c r="L16" s="10">
        <v>100</v>
      </c>
      <c r="M16" s="17">
        <f t="shared" si="3"/>
        <v>96.042500000000004</v>
      </c>
      <c r="N16" s="10">
        <v>94.23</v>
      </c>
      <c r="O16" s="10">
        <f t="shared" si="4"/>
        <v>90</v>
      </c>
      <c r="P16" s="10">
        <v>100</v>
      </c>
      <c r="Q16" s="10">
        <v>99</v>
      </c>
      <c r="R16" s="15">
        <f t="shared" si="5"/>
        <v>95.807500000000005</v>
      </c>
      <c r="S16" s="18">
        <f t="shared" si="0"/>
        <v>95.887500000000003</v>
      </c>
    </row>
    <row r="17" spans="1:19" ht="16.5" customHeight="1" x14ac:dyDescent="0.25">
      <c r="A17" s="6">
        <f t="shared" si="1"/>
        <v>12</v>
      </c>
      <c r="B17" t="s">
        <v>43</v>
      </c>
      <c r="C17" s="5" t="s">
        <v>8</v>
      </c>
      <c r="D17" s="10"/>
      <c r="E17" s="10"/>
      <c r="F17" s="10"/>
      <c r="G17" s="10"/>
      <c r="H17" s="17"/>
      <c r="I17" s="17"/>
      <c r="J17" s="10"/>
      <c r="K17" s="10"/>
      <c r="L17" s="10"/>
      <c r="M17" s="17"/>
      <c r="N17" s="10">
        <v>94.1</v>
      </c>
      <c r="O17" s="10">
        <f t="shared" si="4"/>
        <v>90</v>
      </c>
      <c r="P17" s="10">
        <v>100</v>
      </c>
      <c r="Q17" s="10">
        <v>100</v>
      </c>
      <c r="R17" s="15">
        <f t="shared" si="5"/>
        <v>96.025000000000006</v>
      </c>
      <c r="S17" s="18">
        <f>R17</f>
        <v>96.025000000000006</v>
      </c>
    </row>
    <row r="18" spans="1:19" ht="16.5" customHeight="1" x14ac:dyDescent="0.25">
      <c r="A18" s="6">
        <f t="shared" si="1"/>
        <v>13</v>
      </c>
      <c r="B18" t="s">
        <v>44</v>
      </c>
      <c r="C18" s="5" t="s">
        <v>5</v>
      </c>
      <c r="D18" s="10">
        <v>94.11</v>
      </c>
      <c r="E18" s="10">
        <v>90</v>
      </c>
      <c r="F18" s="10">
        <v>100</v>
      </c>
      <c r="G18" s="10">
        <v>100</v>
      </c>
      <c r="H18" s="17">
        <f t="shared" si="2"/>
        <v>96.027500000000003</v>
      </c>
      <c r="I18" s="17">
        <v>94.17</v>
      </c>
      <c r="J18" s="10">
        <v>90</v>
      </c>
      <c r="K18" s="10">
        <v>100</v>
      </c>
      <c r="L18" s="10">
        <v>100</v>
      </c>
      <c r="M18" s="17">
        <f t="shared" si="3"/>
        <v>96.042500000000004</v>
      </c>
      <c r="N18" s="10">
        <v>94.09</v>
      </c>
      <c r="O18" s="10">
        <f t="shared" si="4"/>
        <v>90</v>
      </c>
      <c r="P18" s="10">
        <v>100</v>
      </c>
      <c r="Q18" s="10">
        <v>99</v>
      </c>
      <c r="R18" s="15">
        <f t="shared" si="5"/>
        <v>95.772500000000008</v>
      </c>
      <c r="S18" s="18">
        <f t="shared" si="0"/>
        <v>95.947499999999991</v>
      </c>
    </row>
    <row r="19" spans="1:19" ht="16.5" customHeight="1" x14ac:dyDescent="0.25">
      <c r="A19" s="6">
        <f t="shared" si="1"/>
        <v>14</v>
      </c>
      <c r="B19" t="s">
        <v>45</v>
      </c>
      <c r="C19" s="5" t="s">
        <v>6</v>
      </c>
      <c r="D19" s="10">
        <v>94.25</v>
      </c>
      <c r="E19" s="10">
        <v>90</v>
      </c>
      <c r="F19" s="10">
        <v>100</v>
      </c>
      <c r="G19" s="10">
        <v>100</v>
      </c>
      <c r="H19" s="17">
        <f t="shared" si="2"/>
        <v>96.0625</v>
      </c>
      <c r="I19" s="17">
        <v>94.21</v>
      </c>
      <c r="J19" s="10">
        <v>90</v>
      </c>
      <c r="K19" s="10">
        <v>100</v>
      </c>
      <c r="L19" s="10">
        <v>100</v>
      </c>
      <c r="M19" s="17">
        <f t="shared" si="3"/>
        <v>96.052499999999995</v>
      </c>
      <c r="N19" s="10">
        <v>94.21</v>
      </c>
      <c r="O19" s="10">
        <f t="shared" si="4"/>
        <v>90</v>
      </c>
      <c r="P19" s="10">
        <v>100</v>
      </c>
      <c r="Q19" s="10">
        <v>100</v>
      </c>
      <c r="R19" s="15">
        <f t="shared" si="5"/>
        <v>96.052499999999995</v>
      </c>
      <c r="S19" s="18">
        <f t="shared" si="0"/>
        <v>96.055833333333339</v>
      </c>
    </row>
    <row r="20" spans="1:19" ht="16.5" customHeight="1" x14ac:dyDescent="0.25">
      <c r="A20" s="6">
        <f t="shared" si="1"/>
        <v>15</v>
      </c>
      <c r="B20" t="s">
        <v>46</v>
      </c>
      <c r="C20" s="5" t="s">
        <v>6</v>
      </c>
      <c r="D20" s="10">
        <v>94.29</v>
      </c>
      <c r="E20" s="10">
        <v>90</v>
      </c>
      <c r="F20" s="10">
        <v>100</v>
      </c>
      <c r="G20" s="10">
        <v>99</v>
      </c>
      <c r="H20" s="17">
        <f t="shared" si="2"/>
        <v>95.822500000000005</v>
      </c>
      <c r="I20" s="17">
        <v>94.5</v>
      </c>
      <c r="J20" s="10">
        <v>90</v>
      </c>
      <c r="K20" s="10">
        <v>100</v>
      </c>
      <c r="L20" s="10">
        <v>99</v>
      </c>
      <c r="M20" s="17">
        <f t="shared" si="3"/>
        <v>95.875</v>
      </c>
      <c r="N20" s="10">
        <v>94.45</v>
      </c>
      <c r="O20" s="10">
        <f t="shared" si="4"/>
        <v>90</v>
      </c>
      <c r="P20" s="10">
        <v>100</v>
      </c>
      <c r="Q20" s="10">
        <v>100</v>
      </c>
      <c r="R20" s="15">
        <f t="shared" si="5"/>
        <v>96.112499999999997</v>
      </c>
      <c r="S20" s="18">
        <f t="shared" si="0"/>
        <v>95.936666666666667</v>
      </c>
    </row>
    <row r="21" spans="1:19" ht="16.5" customHeight="1" x14ac:dyDescent="0.25">
      <c r="A21" s="6">
        <f t="shared" si="1"/>
        <v>16</v>
      </c>
      <c r="B21" t="s">
        <v>47</v>
      </c>
      <c r="C21" s="5" t="s">
        <v>6</v>
      </c>
      <c r="D21" s="10">
        <v>94.14</v>
      </c>
      <c r="E21" s="10">
        <v>90</v>
      </c>
      <c r="F21" s="10">
        <v>100</v>
      </c>
      <c r="G21" s="10">
        <v>99</v>
      </c>
      <c r="H21" s="17">
        <f t="shared" si="2"/>
        <v>95.784999999999997</v>
      </c>
      <c r="I21" s="17">
        <v>94.33</v>
      </c>
      <c r="J21" s="10">
        <v>90</v>
      </c>
      <c r="K21" s="10">
        <v>100</v>
      </c>
      <c r="L21" s="10">
        <v>100</v>
      </c>
      <c r="M21" s="17">
        <f t="shared" si="3"/>
        <v>96.082499999999996</v>
      </c>
      <c r="N21" s="10">
        <v>94.56</v>
      </c>
      <c r="O21" s="10">
        <f t="shared" si="4"/>
        <v>90</v>
      </c>
      <c r="P21" s="10">
        <v>100</v>
      </c>
      <c r="Q21" s="11">
        <v>100</v>
      </c>
      <c r="R21" s="15">
        <f t="shared" si="5"/>
        <v>96.14</v>
      </c>
      <c r="S21" s="18">
        <f t="shared" si="0"/>
        <v>96.002499999999998</v>
      </c>
    </row>
    <row r="22" spans="1:19" ht="16.5" customHeight="1" x14ac:dyDescent="0.25">
      <c r="A22" s="6">
        <f t="shared" si="1"/>
        <v>17</v>
      </c>
      <c r="B22" t="s">
        <v>48</v>
      </c>
      <c r="C22" s="5" t="s">
        <v>7</v>
      </c>
      <c r="D22" s="10">
        <v>94.28</v>
      </c>
      <c r="E22" s="10">
        <v>90</v>
      </c>
      <c r="F22" s="10">
        <v>100</v>
      </c>
      <c r="G22" s="10">
        <v>98</v>
      </c>
      <c r="H22" s="17">
        <f t="shared" si="2"/>
        <v>95.57</v>
      </c>
      <c r="I22" s="17">
        <v>94.33</v>
      </c>
      <c r="J22" s="10">
        <v>90</v>
      </c>
      <c r="K22" s="10">
        <v>100</v>
      </c>
      <c r="L22" s="10">
        <v>95</v>
      </c>
      <c r="M22" s="17">
        <f t="shared" si="3"/>
        <v>94.832499999999996</v>
      </c>
      <c r="N22" s="10">
        <v>94.3</v>
      </c>
      <c r="O22" s="10">
        <f t="shared" si="4"/>
        <v>90</v>
      </c>
      <c r="P22" s="10">
        <v>100</v>
      </c>
      <c r="Q22" s="11">
        <v>98</v>
      </c>
      <c r="R22" s="15">
        <f t="shared" si="5"/>
        <v>95.575000000000003</v>
      </c>
      <c r="S22" s="18">
        <f t="shared" si="0"/>
        <v>95.325833333333321</v>
      </c>
    </row>
    <row r="23" spans="1:19" ht="16.5" customHeight="1" x14ac:dyDescent="0.25">
      <c r="A23" s="6">
        <f t="shared" si="1"/>
        <v>18</v>
      </c>
      <c r="B23" t="s">
        <v>49</v>
      </c>
      <c r="C23" s="5" t="s">
        <v>5</v>
      </c>
      <c r="D23" s="10">
        <v>94.14</v>
      </c>
      <c r="E23" s="10">
        <v>90</v>
      </c>
      <c r="F23" s="10">
        <v>100</v>
      </c>
      <c r="G23" s="10">
        <v>100</v>
      </c>
      <c r="H23" s="17">
        <f t="shared" si="2"/>
        <v>96.034999999999997</v>
      </c>
      <c r="I23" s="17">
        <v>94.14</v>
      </c>
      <c r="J23" s="10">
        <v>90</v>
      </c>
      <c r="K23" s="10">
        <v>100</v>
      </c>
      <c r="L23" s="10">
        <v>100</v>
      </c>
      <c r="M23" s="17">
        <f t="shared" si="3"/>
        <v>96.034999999999997</v>
      </c>
      <c r="N23" s="10">
        <v>94</v>
      </c>
      <c r="O23" s="10">
        <f t="shared" si="4"/>
        <v>90</v>
      </c>
      <c r="P23" s="10">
        <v>100</v>
      </c>
      <c r="Q23" s="11">
        <v>100</v>
      </c>
      <c r="R23" s="15">
        <f t="shared" si="5"/>
        <v>96</v>
      </c>
      <c r="S23" s="18">
        <f t="shared" si="0"/>
        <v>96.023333333333326</v>
      </c>
    </row>
    <row r="24" spans="1:19" ht="16.5" customHeight="1" x14ac:dyDescent="0.25">
      <c r="A24" s="6">
        <f t="shared" si="1"/>
        <v>19</v>
      </c>
      <c r="B24" t="s">
        <v>50</v>
      </c>
      <c r="C24" s="5" t="s">
        <v>4</v>
      </c>
      <c r="D24" s="17">
        <v>94.33</v>
      </c>
      <c r="E24" s="10">
        <v>90</v>
      </c>
      <c r="F24" s="10">
        <v>100</v>
      </c>
      <c r="G24" s="10">
        <v>99</v>
      </c>
      <c r="H24" s="17">
        <f t="shared" si="2"/>
        <v>95.832499999999996</v>
      </c>
      <c r="I24" s="17">
        <v>94.33</v>
      </c>
      <c r="J24" s="10">
        <v>90</v>
      </c>
      <c r="K24" s="10">
        <v>100</v>
      </c>
      <c r="L24" s="10">
        <v>99</v>
      </c>
      <c r="M24" s="17">
        <f t="shared" si="3"/>
        <v>95.832499999999996</v>
      </c>
      <c r="N24" s="17">
        <v>94.33</v>
      </c>
      <c r="O24" s="10">
        <f t="shared" si="4"/>
        <v>90</v>
      </c>
      <c r="P24" s="10">
        <v>100</v>
      </c>
      <c r="Q24" s="11">
        <v>100</v>
      </c>
      <c r="R24" s="15">
        <f t="shared" si="5"/>
        <v>96.082499999999996</v>
      </c>
      <c r="S24" s="18">
        <f t="shared" si="0"/>
        <v>95.915833333333339</v>
      </c>
    </row>
    <row r="25" spans="1:19" ht="16.5" customHeight="1" x14ac:dyDescent="0.25">
      <c r="A25" s="6">
        <f t="shared" si="1"/>
        <v>20</v>
      </c>
      <c r="B25" t="s">
        <v>51</v>
      </c>
      <c r="C25" s="5" t="s">
        <v>4</v>
      </c>
      <c r="D25" s="10">
        <v>94.13</v>
      </c>
      <c r="E25" s="10">
        <v>90</v>
      </c>
      <c r="F25" s="10">
        <v>99</v>
      </c>
      <c r="G25" s="10">
        <v>96</v>
      </c>
      <c r="H25" s="17">
        <f t="shared" si="2"/>
        <v>94.782499999999999</v>
      </c>
      <c r="I25" s="17">
        <v>94.17</v>
      </c>
      <c r="J25" s="10">
        <v>90</v>
      </c>
      <c r="K25" s="10">
        <v>100</v>
      </c>
      <c r="L25" s="10">
        <v>98</v>
      </c>
      <c r="M25" s="17">
        <f t="shared" si="3"/>
        <v>95.542500000000004</v>
      </c>
      <c r="N25" s="10">
        <v>94.2</v>
      </c>
      <c r="O25" s="10">
        <f t="shared" si="4"/>
        <v>90</v>
      </c>
      <c r="P25" s="10">
        <v>100</v>
      </c>
      <c r="Q25" s="11">
        <v>100</v>
      </c>
      <c r="R25" s="15">
        <f t="shared" si="5"/>
        <v>96.05</v>
      </c>
      <c r="S25" s="18">
        <f t="shared" si="0"/>
        <v>95.458333333333329</v>
      </c>
    </row>
    <row r="26" spans="1:19" ht="16.5" customHeight="1" x14ac:dyDescent="0.25">
      <c r="A26" s="6">
        <f t="shared" si="1"/>
        <v>21</v>
      </c>
      <c r="B26" t="s">
        <v>52</v>
      </c>
      <c r="C26" s="25" t="s">
        <v>29</v>
      </c>
      <c r="D26" s="10">
        <v>94.26</v>
      </c>
      <c r="E26" s="10">
        <v>90</v>
      </c>
      <c r="F26" s="10">
        <v>100</v>
      </c>
      <c r="G26" s="10">
        <v>98</v>
      </c>
      <c r="H26" s="17">
        <f t="shared" si="2"/>
        <v>95.564999999999998</v>
      </c>
      <c r="I26" s="17">
        <v>94.31</v>
      </c>
      <c r="J26" s="10">
        <v>90</v>
      </c>
      <c r="K26" s="10">
        <v>100</v>
      </c>
      <c r="L26" s="10">
        <v>98</v>
      </c>
      <c r="M26" s="17">
        <f t="shared" si="3"/>
        <v>95.577500000000001</v>
      </c>
      <c r="N26" s="10">
        <v>94.42</v>
      </c>
      <c r="O26" s="10">
        <f t="shared" si="4"/>
        <v>90</v>
      </c>
      <c r="P26" s="10">
        <v>100</v>
      </c>
      <c r="Q26" s="11">
        <v>98</v>
      </c>
      <c r="R26" s="15">
        <f t="shared" si="5"/>
        <v>95.605000000000004</v>
      </c>
      <c r="S26" s="18">
        <f t="shared" si="0"/>
        <v>95.582499999999996</v>
      </c>
    </row>
    <row r="27" spans="1:19" ht="16.5" customHeight="1" x14ac:dyDescent="0.25">
      <c r="A27" s="6">
        <f t="shared" si="1"/>
        <v>22</v>
      </c>
      <c r="B27" t="s">
        <v>53</v>
      </c>
      <c r="C27" s="5" t="s">
        <v>4</v>
      </c>
      <c r="D27" s="17">
        <v>94.33</v>
      </c>
      <c r="E27" s="10">
        <v>90</v>
      </c>
      <c r="F27" s="10">
        <v>100</v>
      </c>
      <c r="G27" s="10">
        <v>99</v>
      </c>
      <c r="H27" s="17">
        <f t="shared" si="2"/>
        <v>95.832499999999996</v>
      </c>
      <c r="I27" s="17">
        <v>94.3</v>
      </c>
      <c r="J27" s="10">
        <v>90</v>
      </c>
      <c r="K27" s="10">
        <v>100</v>
      </c>
      <c r="L27" s="10">
        <v>99</v>
      </c>
      <c r="M27" s="17">
        <f t="shared" si="3"/>
        <v>95.825000000000003</v>
      </c>
      <c r="N27" s="10">
        <v>94.44</v>
      </c>
      <c r="O27" s="10">
        <f t="shared" si="4"/>
        <v>90</v>
      </c>
      <c r="P27" s="10">
        <v>100</v>
      </c>
      <c r="Q27" s="11">
        <v>100</v>
      </c>
      <c r="R27" s="15">
        <f t="shared" si="5"/>
        <v>96.11</v>
      </c>
      <c r="S27" s="18">
        <f t="shared" si="0"/>
        <v>95.922499999999999</v>
      </c>
    </row>
    <row r="28" spans="1:19" ht="16.5" customHeight="1" x14ac:dyDescent="0.25">
      <c r="A28" s="6">
        <f t="shared" si="1"/>
        <v>23</v>
      </c>
      <c r="B28" t="s">
        <v>54</v>
      </c>
      <c r="C28" s="1" t="s">
        <v>12</v>
      </c>
      <c r="D28" s="17">
        <v>94</v>
      </c>
      <c r="E28" s="10">
        <v>90</v>
      </c>
      <c r="F28" s="10">
        <v>100</v>
      </c>
      <c r="G28" s="10">
        <v>100</v>
      </c>
      <c r="H28" s="17">
        <f t="shared" si="2"/>
        <v>96</v>
      </c>
      <c r="I28" s="17">
        <v>94</v>
      </c>
      <c r="J28" s="10">
        <v>90</v>
      </c>
      <c r="K28" s="10">
        <v>100</v>
      </c>
      <c r="L28" s="10">
        <v>100</v>
      </c>
      <c r="M28" s="17">
        <f t="shared" si="3"/>
        <v>96</v>
      </c>
      <c r="N28" s="17">
        <v>94</v>
      </c>
      <c r="O28" s="10">
        <f t="shared" si="4"/>
        <v>90</v>
      </c>
      <c r="P28" s="10">
        <v>100</v>
      </c>
      <c r="Q28" s="11">
        <v>100</v>
      </c>
      <c r="R28" s="15">
        <f t="shared" si="5"/>
        <v>96</v>
      </c>
      <c r="S28" s="18">
        <f t="shared" si="0"/>
        <v>96</v>
      </c>
    </row>
    <row r="29" spans="1:19" ht="16.5" customHeight="1" x14ac:dyDescent="0.25">
      <c r="A29" s="6">
        <f t="shared" si="1"/>
        <v>24</v>
      </c>
      <c r="B29" t="s">
        <v>55</v>
      </c>
      <c r="C29" s="1" t="s">
        <v>5</v>
      </c>
      <c r="D29" s="10">
        <v>94.13</v>
      </c>
      <c r="E29" s="10">
        <v>90</v>
      </c>
      <c r="F29" s="10">
        <v>100</v>
      </c>
      <c r="G29" s="10">
        <v>100</v>
      </c>
      <c r="H29" s="17">
        <f t="shared" si="2"/>
        <v>96.032499999999999</v>
      </c>
      <c r="I29" s="10">
        <v>94.17</v>
      </c>
      <c r="J29" s="10">
        <v>90</v>
      </c>
      <c r="K29" s="10">
        <v>100</v>
      </c>
      <c r="L29" s="10">
        <v>100</v>
      </c>
      <c r="M29" s="17">
        <f t="shared" si="3"/>
        <v>96.042500000000004</v>
      </c>
      <c r="N29" s="17">
        <v>94.2</v>
      </c>
      <c r="O29" s="10">
        <f t="shared" si="4"/>
        <v>90</v>
      </c>
      <c r="P29" s="10">
        <v>100</v>
      </c>
      <c r="Q29" s="11">
        <v>100</v>
      </c>
      <c r="R29" s="15">
        <f t="shared" si="5"/>
        <v>96.05</v>
      </c>
      <c r="S29" s="18">
        <f t="shared" si="0"/>
        <v>96.041666666666671</v>
      </c>
    </row>
    <row r="30" spans="1:19" ht="16.5" customHeight="1" x14ac:dyDescent="0.25">
      <c r="A30" s="6">
        <f t="shared" si="1"/>
        <v>25</v>
      </c>
      <c r="B30" t="s">
        <v>56</v>
      </c>
      <c r="C30" s="5" t="s">
        <v>6</v>
      </c>
      <c r="D30" s="10">
        <v>94.31</v>
      </c>
      <c r="E30" s="10">
        <v>90</v>
      </c>
      <c r="F30" s="10">
        <v>100</v>
      </c>
      <c r="G30" s="10">
        <v>100</v>
      </c>
      <c r="H30" s="17">
        <f t="shared" si="2"/>
        <v>96.077500000000001</v>
      </c>
      <c r="I30" s="10">
        <v>94.3</v>
      </c>
      <c r="J30" s="10">
        <v>90</v>
      </c>
      <c r="K30" s="10">
        <v>100</v>
      </c>
      <c r="L30" s="10">
        <v>100</v>
      </c>
      <c r="M30" s="17">
        <f t="shared" si="3"/>
        <v>96.075000000000003</v>
      </c>
      <c r="N30" s="10">
        <v>94.25</v>
      </c>
      <c r="O30" s="10">
        <f t="shared" si="4"/>
        <v>90</v>
      </c>
      <c r="P30" s="10">
        <v>100</v>
      </c>
      <c r="Q30" s="11">
        <v>100</v>
      </c>
      <c r="R30" s="15">
        <f t="shared" si="5"/>
        <v>96.0625</v>
      </c>
      <c r="S30" s="18">
        <f t="shared" si="0"/>
        <v>96.071666666666673</v>
      </c>
    </row>
    <row r="31" spans="1:19" ht="16.5" customHeight="1" x14ac:dyDescent="0.25">
      <c r="A31" s="6">
        <f t="shared" si="1"/>
        <v>26</v>
      </c>
      <c r="B31" t="s">
        <v>57</v>
      </c>
      <c r="C31" s="5" t="s">
        <v>4</v>
      </c>
      <c r="D31" s="10">
        <v>94.36</v>
      </c>
      <c r="E31" s="10">
        <v>90</v>
      </c>
      <c r="F31" s="10">
        <v>100</v>
      </c>
      <c r="G31" s="10">
        <v>96</v>
      </c>
      <c r="H31" s="17">
        <f t="shared" si="2"/>
        <v>95.09</v>
      </c>
      <c r="I31" s="10">
        <v>94.36</v>
      </c>
      <c r="J31" s="10">
        <v>90</v>
      </c>
      <c r="K31" s="10">
        <v>100</v>
      </c>
      <c r="L31" s="10">
        <v>98</v>
      </c>
      <c r="M31" s="17">
        <f t="shared" si="3"/>
        <v>95.59</v>
      </c>
      <c r="N31" s="10">
        <v>94.36</v>
      </c>
      <c r="O31" s="10">
        <f t="shared" si="4"/>
        <v>90</v>
      </c>
      <c r="P31" s="10">
        <v>100</v>
      </c>
      <c r="Q31" s="11">
        <v>99</v>
      </c>
      <c r="R31" s="15">
        <f t="shared" si="5"/>
        <v>95.84</v>
      </c>
      <c r="S31" s="18">
        <f t="shared" si="0"/>
        <v>95.506666666666661</v>
      </c>
    </row>
    <row r="32" spans="1:19" ht="30" x14ac:dyDescent="0.25">
      <c r="A32" s="6">
        <f t="shared" si="1"/>
        <v>27</v>
      </c>
      <c r="B32" t="s">
        <v>58</v>
      </c>
      <c r="C32" s="5" t="s">
        <v>5</v>
      </c>
      <c r="D32" s="10">
        <v>94.17</v>
      </c>
      <c r="E32" s="10">
        <v>90</v>
      </c>
      <c r="F32" s="10">
        <v>100</v>
      </c>
      <c r="G32" s="10">
        <v>100</v>
      </c>
      <c r="H32" s="17">
        <f t="shared" si="2"/>
        <v>96.042500000000004</v>
      </c>
      <c r="I32" s="10">
        <v>94.17</v>
      </c>
      <c r="J32" s="10">
        <v>90</v>
      </c>
      <c r="K32" s="10">
        <v>100</v>
      </c>
      <c r="L32" s="10">
        <v>100</v>
      </c>
      <c r="M32" s="17">
        <f t="shared" si="3"/>
        <v>96.042500000000004</v>
      </c>
      <c r="N32" s="10">
        <v>94.11</v>
      </c>
      <c r="O32" s="10">
        <f t="shared" si="4"/>
        <v>90</v>
      </c>
      <c r="P32" s="10">
        <v>100</v>
      </c>
      <c r="Q32" s="11">
        <v>100</v>
      </c>
      <c r="R32" s="15">
        <f t="shared" si="5"/>
        <v>96.027500000000003</v>
      </c>
      <c r="S32" s="18">
        <f t="shared" si="0"/>
        <v>96.037500000000009</v>
      </c>
    </row>
    <row r="33" spans="1:19" x14ac:dyDescent="0.25">
      <c r="A33" s="6">
        <f t="shared" si="1"/>
        <v>28</v>
      </c>
      <c r="B33" t="s">
        <v>59</v>
      </c>
      <c r="C33" s="5" t="s">
        <v>9</v>
      </c>
      <c r="D33" s="10">
        <v>94.31</v>
      </c>
      <c r="E33" s="10">
        <v>90</v>
      </c>
      <c r="F33" s="10">
        <v>100</v>
      </c>
      <c r="G33" s="10">
        <v>100</v>
      </c>
      <c r="H33" s="17">
        <f t="shared" si="2"/>
        <v>96.077500000000001</v>
      </c>
      <c r="I33" s="10">
        <v>94.18</v>
      </c>
      <c r="J33" s="10">
        <v>90</v>
      </c>
      <c r="K33" s="10">
        <v>96</v>
      </c>
      <c r="L33" s="10">
        <v>100</v>
      </c>
      <c r="M33" s="17">
        <f t="shared" si="3"/>
        <v>95.045000000000002</v>
      </c>
      <c r="N33" s="10">
        <v>94.27</v>
      </c>
      <c r="O33" s="10">
        <f t="shared" si="4"/>
        <v>90</v>
      </c>
      <c r="P33" s="10">
        <v>100</v>
      </c>
      <c r="Q33" s="11">
        <v>99</v>
      </c>
      <c r="R33" s="15">
        <f t="shared" si="5"/>
        <v>95.817499999999995</v>
      </c>
      <c r="S33" s="18">
        <f t="shared" si="0"/>
        <v>95.646666666666661</v>
      </c>
    </row>
    <row r="34" spans="1:19" x14ac:dyDescent="0.25">
      <c r="A34" s="6">
        <f t="shared" si="1"/>
        <v>29</v>
      </c>
      <c r="B34" t="s">
        <v>60</v>
      </c>
      <c r="C34" s="5" t="s">
        <v>7</v>
      </c>
      <c r="D34" s="12">
        <v>94.25</v>
      </c>
      <c r="E34" s="10">
        <v>90</v>
      </c>
      <c r="F34" s="10">
        <v>100</v>
      </c>
      <c r="G34" s="10">
        <v>100</v>
      </c>
      <c r="H34" s="17">
        <f t="shared" si="2"/>
        <v>96.0625</v>
      </c>
      <c r="I34" s="10">
        <v>94.33</v>
      </c>
      <c r="J34" s="10">
        <v>90</v>
      </c>
      <c r="K34" s="10">
        <v>100</v>
      </c>
      <c r="L34" s="10">
        <v>100</v>
      </c>
      <c r="M34" s="17">
        <f t="shared" si="3"/>
        <v>96.082499999999996</v>
      </c>
      <c r="N34" s="10">
        <v>94.29</v>
      </c>
      <c r="O34" s="10">
        <f t="shared" si="4"/>
        <v>90</v>
      </c>
      <c r="P34" s="10">
        <v>100</v>
      </c>
      <c r="Q34" s="11">
        <v>100</v>
      </c>
      <c r="R34" s="15">
        <f t="shared" si="5"/>
        <v>96.072500000000005</v>
      </c>
      <c r="S34" s="18">
        <f t="shared" si="0"/>
        <v>96.072499999999991</v>
      </c>
    </row>
    <row r="35" spans="1:19" ht="17.45" customHeight="1" x14ac:dyDescent="0.25">
      <c r="A35" s="6">
        <f t="shared" si="1"/>
        <v>30</v>
      </c>
      <c r="B35" t="s">
        <v>61</v>
      </c>
      <c r="C35" s="1" t="s">
        <v>13</v>
      </c>
      <c r="D35" s="10">
        <v>94.29</v>
      </c>
      <c r="E35" s="10">
        <v>90</v>
      </c>
      <c r="F35" s="10">
        <v>100</v>
      </c>
      <c r="G35" s="10">
        <v>100</v>
      </c>
      <c r="H35" s="17">
        <f t="shared" si="2"/>
        <v>96.072500000000005</v>
      </c>
      <c r="I35" s="12">
        <v>94.38</v>
      </c>
      <c r="J35" s="10">
        <v>90</v>
      </c>
      <c r="K35" s="10">
        <v>100</v>
      </c>
      <c r="L35" s="10">
        <v>100</v>
      </c>
      <c r="M35" s="17">
        <f t="shared" si="3"/>
        <v>96.094999999999999</v>
      </c>
      <c r="N35" s="12">
        <v>94.33</v>
      </c>
      <c r="O35" s="10">
        <f t="shared" si="4"/>
        <v>90</v>
      </c>
      <c r="P35" s="10">
        <v>100</v>
      </c>
      <c r="Q35" s="11">
        <v>100</v>
      </c>
      <c r="R35" s="15">
        <f t="shared" si="5"/>
        <v>96.082499999999996</v>
      </c>
      <c r="S35" s="18">
        <f t="shared" si="0"/>
        <v>96.083333333333329</v>
      </c>
    </row>
    <row r="36" spans="1:19" x14ac:dyDescent="0.25">
      <c r="A36" s="6">
        <f t="shared" si="1"/>
        <v>31</v>
      </c>
      <c r="B36" t="s">
        <v>62</v>
      </c>
      <c r="C36" s="5" t="s">
        <v>6</v>
      </c>
      <c r="D36" s="11">
        <v>94.19</v>
      </c>
      <c r="E36" s="10">
        <v>90</v>
      </c>
      <c r="F36" s="10">
        <v>100</v>
      </c>
      <c r="G36" s="10">
        <v>99</v>
      </c>
      <c r="H36" s="17">
        <f t="shared" si="2"/>
        <v>95.797499999999999</v>
      </c>
      <c r="I36" s="10">
        <v>94.33</v>
      </c>
      <c r="J36" s="10">
        <v>90</v>
      </c>
      <c r="K36" s="10">
        <v>100</v>
      </c>
      <c r="L36" s="10">
        <v>100</v>
      </c>
      <c r="M36" s="17">
        <f t="shared" si="3"/>
        <v>96.082499999999996</v>
      </c>
      <c r="N36" s="10">
        <v>94.23</v>
      </c>
      <c r="O36" s="10">
        <f t="shared" si="4"/>
        <v>90</v>
      </c>
      <c r="P36" s="10">
        <v>100</v>
      </c>
      <c r="Q36" s="11">
        <v>100</v>
      </c>
      <c r="R36" s="15">
        <f t="shared" si="5"/>
        <v>96.057500000000005</v>
      </c>
      <c r="S36" s="18">
        <f t="shared" si="0"/>
        <v>95.979166666666671</v>
      </c>
    </row>
    <row r="37" spans="1:19" x14ac:dyDescent="0.25">
      <c r="A37">
        <v>32</v>
      </c>
      <c r="B37" t="s">
        <v>63</v>
      </c>
      <c r="C37" s="5" t="s">
        <v>6</v>
      </c>
      <c r="D37" s="11">
        <v>94.19</v>
      </c>
      <c r="E37" s="10">
        <v>90</v>
      </c>
      <c r="F37" s="10">
        <v>100</v>
      </c>
      <c r="G37" s="10">
        <v>99</v>
      </c>
      <c r="H37" s="17">
        <f t="shared" ref="H37" si="6">AVERAGE(D37:G37)</f>
        <v>95.797499999999999</v>
      </c>
      <c r="I37" s="10">
        <v>94.33</v>
      </c>
      <c r="J37" s="10">
        <v>90</v>
      </c>
      <c r="K37" s="10">
        <v>100</v>
      </c>
      <c r="L37" s="10">
        <v>100</v>
      </c>
      <c r="M37" s="17">
        <f t="shared" ref="M37" si="7">AVERAGE(I37:L37)</f>
        <v>96.082499999999996</v>
      </c>
      <c r="N37" s="10">
        <v>94.23</v>
      </c>
      <c r="O37" s="10">
        <f t="shared" si="4"/>
        <v>90</v>
      </c>
      <c r="P37" s="10">
        <v>100</v>
      </c>
      <c r="Q37" s="11">
        <v>100</v>
      </c>
      <c r="R37" s="15">
        <f t="shared" ref="R37" si="8">AVERAGE(N37:Q37)</f>
        <v>96.057500000000005</v>
      </c>
      <c r="S37" s="18">
        <f t="shared" ref="S37" si="9">(H37+M37+R37)/3</f>
        <v>95.979166666666671</v>
      </c>
    </row>
    <row r="38" spans="1:19" ht="18" customHeight="1" x14ac:dyDescent="0.25">
      <c r="A38" t="s">
        <v>14</v>
      </c>
      <c r="B38" s="8"/>
    </row>
    <row r="39" spans="1:19" x14ac:dyDescent="0.25">
      <c r="A39">
        <v>1</v>
      </c>
      <c r="B39" s="8" t="s">
        <v>16</v>
      </c>
    </row>
    <row r="40" spans="1:19" ht="30" x14ac:dyDescent="0.25">
      <c r="B40" s="8" t="s">
        <v>17</v>
      </c>
    </row>
    <row r="41" spans="1:19" ht="60" x14ac:dyDescent="0.25">
      <c r="A41" s="9">
        <v>2</v>
      </c>
      <c r="B41" s="13" t="s">
        <v>22</v>
      </c>
    </row>
    <row r="42" spans="1:19" x14ac:dyDescent="0.25">
      <c r="B42" s="8" t="s">
        <v>15</v>
      </c>
    </row>
    <row r="43" spans="1:19" ht="45" x14ac:dyDescent="0.25">
      <c r="B43" s="8" t="s">
        <v>18</v>
      </c>
    </row>
    <row r="44" spans="1:19" x14ac:dyDescent="0.25">
      <c r="A44" s="14" t="s">
        <v>21</v>
      </c>
      <c r="B44" s="8" t="s">
        <v>23</v>
      </c>
    </row>
  </sheetData>
  <mergeCells count="9">
    <mergeCell ref="A4:A5"/>
    <mergeCell ref="B1:K1"/>
    <mergeCell ref="B2:K2"/>
    <mergeCell ref="B4:B5"/>
    <mergeCell ref="C4:C5"/>
    <mergeCell ref="S4:S5"/>
    <mergeCell ref="D4:H4"/>
    <mergeCell ref="I4:M4"/>
    <mergeCell ref="N4:R4"/>
  </mergeCells>
  <pageMargins left="0.25" right="0.25" top="0.75" bottom="0.75" header="0.3" footer="0.3"/>
  <pageSetup scale="8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nilai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2024-03-28T03:40:26Z</dcterms:created>
  <dcterms:modified xsi:type="dcterms:W3CDTF">2026-07-07T06:48:02Z</dcterms:modified>
</cp:coreProperties>
</file>